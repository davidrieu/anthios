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lvie\Dropbox\Expert comptable Anthios\2024\Clients\"/>
    </mc:Choice>
  </mc:AlternateContent>
  <xr:revisionPtr revIDLastSave="0" documentId="13_ncr:9_{1B61AE6F-0107-46CD-949F-4B3EADFB513C}" xr6:coauthVersionLast="47" xr6:coauthVersionMax="47" xr10:uidLastSave="{00000000-0000-0000-0000-000000000000}"/>
  <bookViews>
    <workbookView xWindow="-120" yWindow="-120" windowWidth="29040" windowHeight="15840" xr2:uid="{F000F015-1757-4143-AC61-E0E260774480}"/>
  </bookViews>
  <sheets>
    <sheet name="request_sql_12 (3)" sheetId="1" r:id="rId1"/>
    <sheet name="Non validé" sheetId="2" r:id="rId2"/>
  </sheets>
  <definedNames>
    <definedName name="_xlnm._FilterDatabase" localSheetId="0" hidden="1">'request_sql_12 (3)'!$A$1:$V$25</definedName>
  </definedNames>
  <calcPr calcId="0"/>
  <pivotCaches>
    <pivotCache cacheId="23" r:id="rId3"/>
  </pivotCaches>
</workbook>
</file>

<file path=xl/calcChain.xml><?xml version="1.0" encoding="utf-8"?>
<calcChain xmlns="http://schemas.openxmlformats.org/spreadsheetml/2006/main">
  <c r="I28" i="1" l="1"/>
  <c r="J28" i="1"/>
  <c r="K28" i="1"/>
  <c r="L28" i="1"/>
  <c r="M28" i="1"/>
  <c r="N28" i="1"/>
  <c r="O28" i="1"/>
  <c r="P28" i="1"/>
  <c r="Q28" i="1"/>
  <c r="R28" i="1"/>
  <c r="H28" i="1"/>
</calcChain>
</file>

<file path=xl/sharedStrings.xml><?xml version="1.0" encoding="utf-8"?>
<sst xmlns="http://schemas.openxmlformats.org/spreadsheetml/2006/main" count="157" uniqueCount="89">
  <si>
    <t>id_order</t>
  </si>
  <si>
    <t>reference</t>
  </si>
  <si>
    <t>date_cde</t>
  </si>
  <si>
    <t>STATUT</t>
  </si>
  <si>
    <t>customer</t>
  </si>
  <si>
    <t>Type_Client</t>
  </si>
  <si>
    <t>SOCIETE</t>
  </si>
  <si>
    <t>TOTAL TTC</t>
  </si>
  <si>
    <t>TOTAL HT</t>
  </si>
  <si>
    <t>PRODUITS TTC</t>
  </si>
  <si>
    <t>PRODUITS HT</t>
  </si>
  <si>
    <t>HT 20</t>
  </si>
  <si>
    <t>HT 10</t>
  </si>
  <si>
    <t>HT 5.5</t>
  </si>
  <si>
    <t>HT 0</t>
  </si>
  <si>
    <t>PORT TTC</t>
  </si>
  <si>
    <t>PORT HT</t>
  </si>
  <si>
    <t>REDUCTION TTC</t>
  </si>
  <si>
    <t>REDUCTION HT</t>
  </si>
  <si>
    <t>payment</t>
  </si>
  <si>
    <t>new</t>
  </si>
  <si>
    <t>badge_success</t>
  </si>
  <si>
    <t>GIWSCYPEB</t>
  </si>
  <si>
    <t>En cours de livraison</t>
  </si>
  <si>
    <t>L. Spinelli</t>
  </si>
  <si>
    <t>PayPal ou CB</t>
  </si>
  <si>
    <t>NMEEIMJJP</t>
  </si>
  <si>
    <t>Boutique Saint Germain</t>
  </si>
  <si>
    <t>t. luccantoni</t>
  </si>
  <si>
    <t>FNLRVKCIH</t>
  </si>
  <si>
    <t>En attente du paiement par virement bancaire</t>
  </si>
  <si>
    <t>J. Dubois</t>
  </si>
  <si>
    <t>Virement bancaire</t>
  </si>
  <si>
    <t>LBQGLZMDP</t>
  </si>
  <si>
    <t>V. MARMIER</t>
  </si>
  <si>
    <t>XMLGVPOHF</t>
  </si>
  <si>
    <t>M. Soumireu-Mourat</t>
  </si>
  <si>
    <t>Business Alu Masue</t>
  </si>
  <si>
    <t>Card via Stripe</t>
  </si>
  <si>
    <t>WTUGOAYEH</t>
  </si>
  <si>
    <t>M. Bernheim</t>
  </si>
  <si>
    <t>LEXWVDQLA</t>
  </si>
  <si>
    <t>S. Le Franc</t>
  </si>
  <si>
    <t>IVBCGRYUP</t>
  </si>
  <si>
    <t>V. Lourdas</t>
  </si>
  <si>
    <t>BMRVAXNOO</t>
  </si>
  <si>
    <t>E. Quimbert</t>
  </si>
  <si>
    <t>Celeris</t>
  </si>
  <si>
    <t>NQQCLNYBU</t>
  </si>
  <si>
    <t>c. trehin</t>
  </si>
  <si>
    <t>DHVINYIDA</t>
  </si>
  <si>
    <t>V. FAUQUEUR</t>
  </si>
  <si>
    <t>IRZNOFPAC</t>
  </si>
  <si>
    <t>J. KULINICZ</t>
  </si>
  <si>
    <t>ENSAP FORMATION</t>
  </si>
  <si>
    <t>RBCCWSJXC</t>
  </si>
  <si>
    <t>m. devaux</t>
  </si>
  <si>
    <t>chez atelier dp architectes</t>
  </si>
  <si>
    <t>VQXCUTYJI</t>
  </si>
  <si>
    <t>C. Dereymez</t>
  </si>
  <si>
    <t>RHRUJWNCH</t>
  </si>
  <si>
    <t>I. ZANINI</t>
  </si>
  <si>
    <t>AXYQWIVWO</t>
  </si>
  <si>
    <t xml:space="preserve">B. Roudeix </t>
  </si>
  <si>
    <t>AMBBMTWVB</t>
  </si>
  <si>
    <t>o. gaillard</t>
  </si>
  <si>
    <t>MNRYURKVX</t>
  </si>
  <si>
    <t>LivrÃ©</t>
  </si>
  <si>
    <t>A. Viel</t>
  </si>
  <si>
    <t>DNCPAHHVI</t>
  </si>
  <si>
    <t xml:space="preserve">D. Anne-Laure </t>
  </si>
  <si>
    <t>MWVOBHZJY</t>
  </si>
  <si>
    <t>H. Legendre</t>
  </si>
  <si>
    <t>JPYXVGOWV</t>
  </si>
  <si>
    <t>Atelier Kokedama</t>
  </si>
  <si>
    <t>S. Duthil</t>
  </si>
  <si>
    <t>PCOJVWCZE</t>
  </si>
  <si>
    <t>R. HEIDINGER</t>
  </si>
  <si>
    <t>MRYQQKCIV</t>
  </si>
  <si>
    <t>n. prevot</t>
  </si>
  <si>
    <t>MQIMGNBBK</t>
  </si>
  <si>
    <t>L. Osseiran</t>
  </si>
  <si>
    <t>JJSSFVZCI</t>
  </si>
  <si>
    <t>W. TALEB</t>
  </si>
  <si>
    <t>JQGNRWYZR</t>
  </si>
  <si>
    <t>C. Vasseur</t>
  </si>
  <si>
    <t>Somme de TOTAL TTC</t>
  </si>
  <si>
    <t>Étiquettes de lignes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</si>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</sst>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33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4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lvie" refreshedDate="45694.527364583337" createdVersion="8" refreshedVersion="8" minRefreshableVersion="3" recordCount="24" xr:uid="{27DEDA27-5D7C-464A-AED7-8AAB7EFDE9C2}">
  <cacheSource type="worksheet">
    <worksheetSource ref="A1:V25" sheet="request_sql_12 (3)"/>
  </cacheSource>
  <cacheFields count="22">
    <cacheField name="id_order" numFmtId="0">
      <sharedItems containsSemiMixedTypes="0" containsString="0" containsNumber="1" containsInteger="1" minValue="4013" maxValue="4038"/>
    </cacheField>
    <cacheField name="reference" numFmtId="0">
      <sharedItems/>
    </cacheField>
    <cacheField name="date_cde" numFmtId="14">
      <sharedItems containsSemiMixedTypes="0" containsNonDate="0" containsDate="1" containsString="0" minDate="2024-12-01T00:00:00" maxDate="2024-12-25T00:00:00"/>
    </cacheField>
    <cacheField name="STATUT" numFmtId="0">
      <sharedItems/>
    </cacheField>
    <cacheField name="customer" numFmtId="0">
      <sharedItems/>
    </cacheField>
    <cacheField name="Type_Client" numFmtId="0">
      <sharedItems containsSemiMixedTypes="0" containsString="0" containsNumber="1" containsInteger="1" minValue="1" maxValue="1"/>
    </cacheField>
    <cacheField name="SOCIETE" numFmtId="0">
      <sharedItems containsBlank="1"/>
    </cacheField>
    <cacheField name="TOTAL TTC" numFmtId="0">
      <sharedItems containsSemiMixedTypes="0" containsString="0" containsNumber="1" minValue="9.3000000000000007" maxValue="187.83"/>
    </cacheField>
    <cacheField name="TOTAL HT" numFmtId="0">
      <sharedItems containsSemiMixedTypes="0" containsString="0" containsNumber="1" minValue="7.75" maxValue="168.42"/>
    </cacheField>
    <cacheField name="PRODUITS TTC" numFmtId="0">
      <sharedItems containsSemiMixedTypes="0" containsString="0" containsNumber="1" minValue="4.5" maxValue="176.5"/>
    </cacheField>
    <cacheField name="PRODUITS HT" numFmtId="0">
      <sharedItems containsSemiMixedTypes="0" containsString="0" containsNumber="1" minValue="3.75" maxValue="158.97999999999999"/>
    </cacheField>
    <cacheField name="HT 20" numFmtId="0">
      <sharedItems containsSemiMixedTypes="0" containsString="0" containsNumber="1" minValue="0" maxValue="108.33"/>
    </cacheField>
    <cacheField name="HT 10" numFmtId="0">
      <sharedItems containsSemiMixedTypes="0" containsString="0" containsNumber="1" minValue="0" maxValue="142.72999999999999"/>
    </cacheField>
    <cacheField name="HT 5.5" numFmtId="0">
      <sharedItems containsSemiMixedTypes="0" containsString="0" containsNumber="1" minValue="0" maxValue="14.17"/>
    </cacheField>
    <cacheField name="HT 0" numFmtId="0">
      <sharedItems containsSemiMixedTypes="0" containsString="0" containsNumber="1" containsInteger="1" minValue="0" maxValue="0"/>
    </cacheField>
    <cacheField name="PORT TTC" numFmtId="0">
      <sharedItems containsSemiMixedTypes="0" containsString="0" containsNumber="1" minValue="0" maxValue="12.31"/>
    </cacheField>
    <cacheField name="PORT HT" numFmtId="0">
      <sharedItems containsSemiMixedTypes="0" containsString="0" containsNumber="1" minValue="0" maxValue="10.26"/>
    </cacheField>
    <cacheField name="REDUCTION TTC" numFmtId="0">
      <sharedItems containsSemiMixedTypes="0" containsString="0" containsNumber="1" containsInteger="1" minValue="0" maxValue="0"/>
    </cacheField>
    <cacheField name="REDUCTION HT" numFmtId="0">
      <sharedItems containsSemiMixedTypes="0" containsString="0" containsNumber="1" containsInteger="1" minValue="0" maxValue="0"/>
    </cacheField>
    <cacheField name="payment" numFmtId="0">
      <sharedItems count="2">
        <s v="PayPal ou CB"/>
        <s v="Card via Stripe"/>
      </sharedItems>
    </cacheField>
    <cacheField name="new" numFmtId="0">
      <sharedItems containsSemiMixedTypes="0" containsString="0" containsNumber="1" containsInteger="1" minValue="0" maxValue="1"/>
    </cacheField>
    <cacheField name="badge_succes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4013"/>
    <s v="GIWSCYPEB"/>
    <d v="2024-12-01T00:00:00"/>
    <s v="En cours de livraison"/>
    <s v="L. Spinelli"/>
    <n v="1"/>
    <m/>
    <n v="9.3000000000000007"/>
    <n v="7.75"/>
    <n v="4.5"/>
    <n v="3.75"/>
    <n v="3.75"/>
    <n v="0"/>
    <n v="0"/>
    <n v="0"/>
    <n v="4.8"/>
    <n v="4"/>
    <n v="0"/>
    <n v="0"/>
    <x v="0"/>
    <n v="1"/>
    <n v="1"/>
  </r>
  <r>
    <n v="4014"/>
    <s v="NMEEIMJJP"/>
    <d v="2024-12-03T00:00:00"/>
    <s v="Boutique Saint Germain"/>
    <s v="t. luccantoni"/>
    <n v="1"/>
    <m/>
    <n v="29"/>
    <n v="24.16"/>
    <n v="29"/>
    <n v="24.16"/>
    <n v="24.16"/>
    <n v="0"/>
    <n v="0"/>
    <n v="0"/>
    <n v="0"/>
    <n v="0"/>
    <n v="0"/>
    <n v="0"/>
    <x v="0"/>
    <n v="1"/>
    <n v="0"/>
  </r>
  <r>
    <n v="4017"/>
    <s v="XMLGVPOHF"/>
    <d v="2024-12-07T00:00:00"/>
    <s v="En cours de livraison"/>
    <s v="M. Soumireu-Mourat"/>
    <n v="1"/>
    <s v="Business Alu Masue"/>
    <n v="42.95"/>
    <n v="37.5"/>
    <n v="36.950000000000003"/>
    <n v="32.5"/>
    <n v="18.329999999999998"/>
    <n v="0"/>
    <n v="14.17"/>
    <n v="0"/>
    <n v="6"/>
    <n v="5"/>
    <n v="0"/>
    <n v="0"/>
    <x v="1"/>
    <n v="1"/>
    <n v="1"/>
  </r>
  <r>
    <n v="4018"/>
    <s v="WTUGOAYEH"/>
    <d v="2024-12-08T00:00:00"/>
    <s v="En cours de livraison"/>
    <s v="M. Bernheim"/>
    <n v="1"/>
    <m/>
    <n v="174.31"/>
    <n v="156.47"/>
    <n v="162"/>
    <n v="146.21"/>
    <n v="11.67"/>
    <n v="134.54"/>
    <n v="0"/>
    <n v="0"/>
    <n v="12.31"/>
    <n v="10.26"/>
    <n v="0"/>
    <n v="0"/>
    <x v="1"/>
    <n v="0"/>
    <n v="1"/>
  </r>
  <r>
    <n v="4019"/>
    <s v="LEXWVDQLA"/>
    <d v="2024-12-08T00:00:00"/>
    <s v="En cours de livraison"/>
    <s v="S. Le Franc"/>
    <n v="1"/>
    <m/>
    <n v="79"/>
    <n v="70.53"/>
    <n v="73"/>
    <n v="65.53"/>
    <n v="9.17"/>
    <n v="56.36"/>
    <n v="0"/>
    <n v="0"/>
    <n v="6"/>
    <n v="5"/>
    <n v="0"/>
    <n v="0"/>
    <x v="1"/>
    <n v="1"/>
    <n v="1"/>
  </r>
  <r>
    <n v="4020"/>
    <s v="IVBCGRYUP"/>
    <d v="2024-12-08T00:00:00"/>
    <s v="En cours de livraison"/>
    <s v="V. Lourdas"/>
    <n v="1"/>
    <m/>
    <n v="83.2"/>
    <n v="72.819999999999993"/>
    <n v="76"/>
    <n v="66.819999999999993"/>
    <n v="25"/>
    <n v="41.82"/>
    <n v="0"/>
    <n v="0"/>
    <n v="7.2"/>
    <n v="6"/>
    <n v="0"/>
    <n v="0"/>
    <x v="1"/>
    <n v="1"/>
    <n v="1"/>
  </r>
  <r>
    <n v="4021"/>
    <s v="BMRVAXNOO"/>
    <d v="2024-12-08T00:00:00"/>
    <s v="En cours de livraison"/>
    <s v="E. Quimbert"/>
    <n v="1"/>
    <s v="Celeris"/>
    <n v="96.2"/>
    <n v="86.91"/>
    <n v="89"/>
    <n v="80.91"/>
    <n v="0"/>
    <n v="80.91"/>
    <n v="0"/>
    <n v="0"/>
    <n v="7.2"/>
    <n v="6"/>
    <n v="0"/>
    <n v="0"/>
    <x v="1"/>
    <n v="1"/>
    <n v="1"/>
  </r>
  <r>
    <n v="4022"/>
    <s v="NQQCLNYBU"/>
    <d v="2024-12-09T00:00:00"/>
    <s v="En cours de livraison"/>
    <s v="c. trehin"/>
    <n v="1"/>
    <m/>
    <n v="68"/>
    <n v="61.36"/>
    <n v="62"/>
    <n v="56.36"/>
    <n v="0"/>
    <n v="56.36"/>
    <n v="0"/>
    <n v="0"/>
    <n v="6"/>
    <n v="5"/>
    <n v="0"/>
    <n v="0"/>
    <x v="1"/>
    <n v="0"/>
    <n v="1"/>
  </r>
  <r>
    <n v="4023"/>
    <s v="DHVINYIDA"/>
    <d v="2024-12-10T00:00:00"/>
    <s v="En cours de livraison"/>
    <s v="V. FAUQUEUR"/>
    <n v="1"/>
    <m/>
    <n v="108.2"/>
    <n v="96.91"/>
    <n v="101"/>
    <n v="90.91"/>
    <n v="10"/>
    <n v="80.91"/>
    <n v="0"/>
    <n v="0"/>
    <n v="7.2"/>
    <n v="6"/>
    <n v="0"/>
    <n v="0"/>
    <x v="1"/>
    <n v="1"/>
    <n v="1"/>
  </r>
  <r>
    <n v="4024"/>
    <s v="IRZNOFPAC"/>
    <d v="2024-12-11T00:00:00"/>
    <s v="En cours de livraison"/>
    <s v="J. KULINICZ"/>
    <n v="1"/>
    <s v="ENSAP FORMATION"/>
    <n v="60.5"/>
    <n v="53.9"/>
    <n v="54.5"/>
    <n v="48.9"/>
    <n v="7.08"/>
    <n v="41.82"/>
    <n v="0"/>
    <n v="0"/>
    <n v="6"/>
    <n v="5"/>
    <n v="0"/>
    <n v="0"/>
    <x v="1"/>
    <n v="1"/>
    <n v="1"/>
  </r>
  <r>
    <n v="4025"/>
    <s v="RBCCWSJXC"/>
    <d v="2024-12-13T00:00:00"/>
    <s v="En cours de livraison"/>
    <s v="m. devaux"/>
    <n v="1"/>
    <s v="chez atelier dp architectes"/>
    <n v="74.61"/>
    <n v="66.27"/>
    <n v="65"/>
    <n v="58.26"/>
    <n v="9.17"/>
    <n v="49.09"/>
    <n v="0"/>
    <n v="0"/>
    <n v="9.61"/>
    <n v="8.01"/>
    <n v="0"/>
    <n v="0"/>
    <x v="1"/>
    <n v="1"/>
    <n v="1"/>
  </r>
  <r>
    <n v="4026"/>
    <s v="VQXCUTYJI"/>
    <d v="2024-12-13T00:00:00"/>
    <s v="En cours de livraison"/>
    <s v="C. Dereymez"/>
    <n v="1"/>
    <m/>
    <n v="75"/>
    <n v="67.19"/>
    <n v="69"/>
    <n v="62.19"/>
    <n v="5.83"/>
    <n v="56.36"/>
    <n v="0"/>
    <n v="0"/>
    <n v="6"/>
    <n v="5"/>
    <n v="0"/>
    <n v="0"/>
    <x v="1"/>
    <n v="1"/>
    <n v="1"/>
  </r>
  <r>
    <n v="4027"/>
    <s v="RHRUJWNCH"/>
    <d v="2024-12-14T00:00:00"/>
    <s v="En cours de livraison"/>
    <s v="I. ZANINI"/>
    <n v="1"/>
    <m/>
    <n v="71.5"/>
    <n v="64.28"/>
    <n v="65.5"/>
    <n v="59.28"/>
    <n v="2.92"/>
    <n v="56.36"/>
    <n v="0"/>
    <n v="0"/>
    <n v="6"/>
    <n v="5"/>
    <n v="0"/>
    <n v="0"/>
    <x v="1"/>
    <n v="1"/>
    <n v="1"/>
  </r>
  <r>
    <n v="4028"/>
    <s v="AXYQWIVWO"/>
    <d v="2024-12-14T00:00:00"/>
    <s v="En cours de livraison"/>
    <s v="B. Roudeix "/>
    <n v="1"/>
    <m/>
    <n v="68.5"/>
    <n v="61.17"/>
    <n v="62.5"/>
    <n v="56.17"/>
    <n v="7.08"/>
    <n v="49.09"/>
    <n v="0"/>
    <n v="0"/>
    <n v="6"/>
    <n v="5"/>
    <n v="0"/>
    <n v="0"/>
    <x v="1"/>
    <n v="1"/>
    <n v="1"/>
  </r>
  <r>
    <n v="4029"/>
    <s v="AMBBMTWVB"/>
    <d v="2024-12-16T00:00:00"/>
    <s v="En cours de livraison"/>
    <s v="o. gaillard"/>
    <n v="1"/>
    <m/>
    <n v="50"/>
    <n v="45"/>
    <n v="44"/>
    <n v="40"/>
    <n v="0"/>
    <n v="40"/>
    <n v="0"/>
    <n v="0"/>
    <n v="6"/>
    <n v="5"/>
    <n v="0"/>
    <n v="0"/>
    <x v="0"/>
    <n v="1"/>
    <n v="1"/>
  </r>
  <r>
    <n v="4030"/>
    <s v="MNRYURKVX"/>
    <d v="2024-12-16T00:00:00"/>
    <s v="LivrÃ©"/>
    <s v="A. Viel"/>
    <n v="1"/>
    <m/>
    <n v="54.5"/>
    <n v="48.9"/>
    <n v="54.5"/>
    <n v="48.9"/>
    <n v="7.08"/>
    <n v="41.82"/>
    <n v="0"/>
    <n v="0"/>
    <n v="0"/>
    <n v="0"/>
    <n v="0"/>
    <n v="0"/>
    <x v="0"/>
    <n v="1"/>
    <n v="1"/>
  </r>
  <r>
    <n v="4031"/>
    <s v="DNCPAHHVI"/>
    <d v="2024-12-17T00:00:00"/>
    <s v="En cours de livraison"/>
    <s v="D. Anne-Laure "/>
    <n v="1"/>
    <m/>
    <n v="28"/>
    <n v="23.33"/>
    <n v="22"/>
    <n v="18.329999999999998"/>
    <n v="18.329999999999998"/>
    <n v="0"/>
    <n v="0"/>
    <n v="0"/>
    <n v="6"/>
    <n v="5"/>
    <n v="0"/>
    <n v="0"/>
    <x v="1"/>
    <n v="1"/>
    <n v="1"/>
  </r>
  <r>
    <n v="4032"/>
    <s v="MWVOBHZJY"/>
    <d v="2024-12-18T00:00:00"/>
    <s v="En cours de livraison"/>
    <s v="H. Legendre"/>
    <n v="1"/>
    <m/>
    <n v="60"/>
    <n v="54.09"/>
    <n v="54"/>
    <n v="49.09"/>
    <n v="0"/>
    <n v="49.09"/>
    <n v="0"/>
    <n v="0"/>
    <n v="6"/>
    <n v="5"/>
    <n v="0"/>
    <n v="0"/>
    <x v="1"/>
    <n v="1"/>
    <n v="1"/>
  </r>
  <r>
    <n v="4033"/>
    <s v="JPYXVGOWV"/>
    <d v="2024-12-20T00:00:00"/>
    <s v="Atelier Kokedama"/>
    <s v="S. Duthil"/>
    <n v="1"/>
    <m/>
    <n v="62"/>
    <n v="51.67"/>
    <n v="62"/>
    <n v="51.67"/>
    <n v="51.67"/>
    <n v="0"/>
    <n v="0"/>
    <n v="0"/>
    <n v="0"/>
    <n v="0"/>
    <n v="0"/>
    <n v="0"/>
    <x v="1"/>
    <n v="1"/>
    <n v="1"/>
  </r>
  <r>
    <n v="4034"/>
    <s v="PCOJVWCZE"/>
    <d v="2024-12-20T00:00:00"/>
    <s v="En cours de livraison"/>
    <s v="R. HEIDINGER"/>
    <n v="1"/>
    <m/>
    <n v="187.83"/>
    <n v="168.42"/>
    <n v="176.5"/>
    <n v="158.97999999999999"/>
    <n v="16.25"/>
    <n v="142.72999999999999"/>
    <n v="0"/>
    <n v="0"/>
    <n v="11.33"/>
    <n v="9.44"/>
    <n v="0"/>
    <n v="0"/>
    <x v="1"/>
    <n v="1"/>
    <n v="1"/>
  </r>
  <r>
    <n v="4035"/>
    <s v="MRYQQKCIV"/>
    <d v="2024-12-21T00:00:00"/>
    <s v="En cours de livraison"/>
    <s v="n. prevot"/>
    <n v="1"/>
    <m/>
    <n v="62"/>
    <n v="55.91"/>
    <n v="56"/>
    <n v="50.91"/>
    <n v="0"/>
    <n v="50.91"/>
    <n v="0"/>
    <n v="0"/>
    <n v="6"/>
    <n v="5"/>
    <n v="0"/>
    <n v="0"/>
    <x v="1"/>
    <n v="0"/>
    <n v="1"/>
  </r>
  <r>
    <n v="4036"/>
    <s v="MQIMGNBBK"/>
    <d v="2024-12-21T00:00:00"/>
    <s v="Atelier Kokedama"/>
    <s v="L. Osseiran"/>
    <n v="1"/>
    <m/>
    <n v="130"/>
    <n v="108.33"/>
    <n v="130"/>
    <n v="108.33"/>
    <n v="108.33"/>
    <n v="0"/>
    <n v="0"/>
    <n v="0"/>
    <n v="0"/>
    <n v="0"/>
    <n v="0"/>
    <n v="0"/>
    <x v="1"/>
    <n v="1"/>
    <n v="1"/>
  </r>
  <r>
    <n v="4037"/>
    <s v="JJSSFVZCI"/>
    <d v="2024-12-23T00:00:00"/>
    <s v="En cours de livraison"/>
    <s v="W. TALEB"/>
    <n v="1"/>
    <m/>
    <n v="80"/>
    <n v="72.73"/>
    <n v="80"/>
    <n v="72.73"/>
    <n v="0"/>
    <n v="72.73"/>
    <n v="0"/>
    <n v="0"/>
    <n v="0"/>
    <n v="0"/>
    <n v="0"/>
    <n v="0"/>
    <x v="1"/>
    <n v="1"/>
    <n v="1"/>
  </r>
  <r>
    <n v="4038"/>
    <s v="JQGNRWYZR"/>
    <d v="2024-12-24T00:00:00"/>
    <s v="En cours de livraison"/>
    <s v="C. Vasseur"/>
    <n v="1"/>
    <m/>
    <n v="38"/>
    <n v="34.090000000000003"/>
    <n v="32"/>
    <n v="29.09"/>
    <n v="0"/>
    <n v="29.09"/>
    <n v="0"/>
    <n v="0"/>
    <n v="6"/>
    <n v="5"/>
    <n v="0"/>
    <n v="0"/>
    <x v="1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9B4D9-5677-4624-995B-2E1EA7C4E1ED}" name="Tableau croisé dynamique6" cacheId="2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31:I34" firstHeaderRow="1" firstDataRow="1" firstDataCol="1"/>
  <pivotFields count="22"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Somme de TOTAL TTC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A982-FF16-47B0-A8F2-ECD07DBD96F4}">
  <dimension ref="A1:V34"/>
  <sheetViews>
    <sheetView tabSelected="1" workbookViewId="0">
      <selection activeCell="J33" sqref="J33"/>
    </sheetView>
  </sheetViews>
  <sheetFormatPr baseColWidth="10" defaultRowHeight="14.25"/>
  <cols>
    <col min="6" max="6" width="4.625" customWidth="1"/>
    <col min="8" max="8" width="13.875" customWidth="1"/>
    <col min="9" max="9" width="12.875" customWidth="1"/>
  </cols>
  <sheetData>
    <row r="1" spans="1:22" s="2" customFormat="1" ht="26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>
        <v>4013</v>
      </c>
      <c r="B2" t="s">
        <v>22</v>
      </c>
      <c r="C2" s="1">
        <v>45627</v>
      </c>
      <c r="D2" t="s">
        <v>23</v>
      </c>
      <c r="E2" t="s">
        <v>24</v>
      </c>
      <c r="F2">
        <v>1</v>
      </c>
      <c r="H2" s="3">
        <v>9.3000000000000007</v>
      </c>
      <c r="I2">
        <v>7.75</v>
      </c>
      <c r="J2">
        <v>4.5</v>
      </c>
      <c r="K2">
        <v>3.75</v>
      </c>
      <c r="L2">
        <v>3.75</v>
      </c>
      <c r="M2">
        <v>0</v>
      </c>
      <c r="N2">
        <v>0</v>
      </c>
      <c r="O2">
        <v>0</v>
      </c>
      <c r="P2">
        <v>4.8</v>
      </c>
      <c r="Q2">
        <v>4</v>
      </c>
      <c r="R2">
        <v>0</v>
      </c>
      <c r="S2">
        <v>0</v>
      </c>
      <c r="T2" t="s">
        <v>25</v>
      </c>
      <c r="U2">
        <v>1</v>
      </c>
      <c r="V2">
        <v>1</v>
      </c>
    </row>
    <row r="3" spans="1:22">
      <c r="A3">
        <v>4014</v>
      </c>
      <c r="B3" t="s">
        <v>26</v>
      </c>
      <c r="C3" s="1">
        <v>45629</v>
      </c>
      <c r="D3" t="s">
        <v>27</v>
      </c>
      <c r="E3" t="s">
        <v>28</v>
      </c>
      <c r="F3">
        <v>1</v>
      </c>
      <c r="H3" s="3">
        <v>29</v>
      </c>
      <c r="I3">
        <v>24.16</v>
      </c>
      <c r="J3">
        <v>29</v>
      </c>
      <c r="K3">
        <v>24.16</v>
      </c>
      <c r="L3">
        <v>24.16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25</v>
      </c>
      <c r="U3">
        <v>1</v>
      </c>
      <c r="V3">
        <v>0</v>
      </c>
    </row>
    <row r="4" spans="1:22">
      <c r="A4">
        <v>4017</v>
      </c>
      <c r="B4" t="s">
        <v>35</v>
      </c>
      <c r="C4" s="1">
        <v>45633</v>
      </c>
      <c r="D4" t="s">
        <v>23</v>
      </c>
      <c r="E4" t="s">
        <v>36</v>
      </c>
      <c r="F4">
        <v>1</v>
      </c>
      <c r="G4" t="s">
        <v>37</v>
      </c>
      <c r="H4" s="7">
        <v>42.95</v>
      </c>
      <c r="I4">
        <v>37.5</v>
      </c>
      <c r="J4">
        <v>36.950000000000003</v>
      </c>
      <c r="K4">
        <v>32.5</v>
      </c>
      <c r="L4">
        <v>18.329999999999998</v>
      </c>
      <c r="M4">
        <v>0</v>
      </c>
      <c r="N4">
        <v>14.17</v>
      </c>
      <c r="O4">
        <v>0</v>
      </c>
      <c r="P4">
        <v>6</v>
      </c>
      <c r="Q4">
        <v>5</v>
      </c>
      <c r="R4">
        <v>0</v>
      </c>
      <c r="S4">
        <v>0</v>
      </c>
      <c r="T4" t="s">
        <v>38</v>
      </c>
      <c r="U4">
        <v>1</v>
      </c>
      <c r="V4">
        <v>1</v>
      </c>
    </row>
    <row r="5" spans="1:22">
      <c r="A5">
        <v>4018</v>
      </c>
      <c r="B5" t="s">
        <v>39</v>
      </c>
      <c r="C5" s="1">
        <v>45634</v>
      </c>
      <c r="D5" t="s">
        <v>23</v>
      </c>
      <c r="E5" t="s">
        <v>40</v>
      </c>
      <c r="F5">
        <v>1</v>
      </c>
      <c r="H5" s="7">
        <v>174.31</v>
      </c>
      <c r="I5">
        <v>156.47</v>
      </c>
      <c r="J5">
        <v>162</v>
      </c>
      <c r="K5">
        <v>146.21</v>
      </c>
      <c r="L5">
        <v>11.67</v>
      </c>
      <c r="M5">
        <v>134.54</v>
      </c>
      <c r="N5">
        <v>0</v>
      </c>
      <c r="O5">
        <v>0</v>
      </c>
      <c r="P5">
        <v>12.31</v>
      </c>
      <c r="Q5">
        <v>10.26</v>
      </c>
      <c r="R5">
        <v>0</v>
      </c>
      <c r="S5">
        <v>0</v>
      </c>
      <c r="T5" t="s">
        <v>38</v>
      </c>
      <c r="U5">
        <v>0</v>
      </c>
      <c r="V5">
        <v>1</v>
      </c>
    </row>
    <row r="6" spans="1:22">
      <c r="A6">
        <v>4019</v>
      </c>
      <c r="B6" t="s">
        <v>41</v>
      </c>
      <c r="C6" s="1">
        <v>45634</v>
      </c>
      <c r="D6" t="s">
        <v>23</v>
      </c>
      <c r="E6" t="s">
        <v>42</v>
      </c>
      <c r="F6">
        <v>1</v>
      </c>
      <c r="H6" s="7">
        <v>79</v>
      </c>
      <c r="I6">
        <v>70.53</v>
      </c>
      <c r="J6">
        <v>73</v>
      </c>
      <c r="K6">
        <v>65.53</v>
      </c>
      <c r="L6">
        <v>9.17</v>
      </c>
      <c r="M6">
        <v>56.36</v>
      </c>
      <c r="N6">
        <v>0</v>
      </c>
      <c r="O6">
        <v>0</v>
      </c>
      <c r="P6">
        <v>6</v>
      </c>
      <c r="Q6">
        <v>5</v>
      </c>
      <c r="R6">
        <v>0</v>
      </c>
      <c r="S6">
        <v>0</v>
      </c>
      <c r="T6" t="s">
        <v>38</v>
      </c>
      <c r="U6">
        <v>1</v>
      </c>
      <c r="V6">
        <v>1</v>
      </c>
    </row>
    <row r="7" spans="1:22">
      <c r="A7">
        <v>4020</v>
      </c>
      <c r="B7" t="s">
        <v>43</v>
      </c>
      <c r="C7" s="1">
        <v>45634</v>
      </c>
      <c r="D7" t="s">
        <v>23</v>
      </c>
      <c r="E7" t="s">
        <v>44</v>
      </c>
      <c r="F7">
        <v>1</v>
      </c>
      <c r="H7" s="7">
        <v>83.2</v>
      </c>
      <c r="I7">
        <v>72.819999999999993</v>
      </c>
      <c r="J7">
        <v>76</v>
      </c>
      <c r="K7">
        <v>66.819999999999993</v>
      </c>
      <c r="L7">
        <v>25</v>
      </c>
      <c r="M7">
        <v>41.82</v>
      </c>
      <c r="N7">
        <v>0</v>
      </c>
      <c r="O7">
        <v>0</v>
      </c>
      <c r="P7">
        <v>7.2</v>
      </c>
      <c r="Q7">
        <v>6</v>
      </c>
      <c r="R7">
        <v>0</v>
      </c>
      <c r="S7">
        <v>0</v>
      </c>
      <c r="T7" t="s">
        <v>38</v>
      </c>
      <c r="U7">
        <v>1</v>
      </c>
      <c r="V7">
        <v>1</v>
      </c>
    </row>
    <row r="8" spans="1:22">
      <c r="A8">
        <v>4021</v>
      </c>
      <c r="B8" t="s">
        <v>45</v>
      </c>
      <c r="C8" s="1">
        <v>45634</v>
      </c>
      <c r="D8" t="s">
        <v>23</v>
      </c>
      <c r="E8" t="s">
        <v>46</v>
      </c>
      <c r="F8">
        <v>1</v>
      </c>
      <c r="G8" t="s">
        <v>47</v>
      </c>
      <c r="H8" s="7">
        <v>96.2</v>
      </c>
      <c r="I8">
        <v>86.91</v>
      </c>
      <c r="J8">
        <v>89</v>
      </c>
      <c r="K8">
        <v>80.91</v>
      </c>
      <c r="L8">
        <v>0</v>
      </c>
      <c r="M8">
        <v>80.91</v>
      </c>
      <c r="N8">
        <v>0</v>
      </c>
      <c r="O8">
        <v>0</v>
      </c>
      <c r="P8">
        <v>7.2</v>
      </c>
      <c r="Q8">
        <v>6</v>
      </c>
      <c r="R8">
        <v>0</v>
      </c>
      <c r="S8">
        <v>0</v>
      </c>
      <c r="T8" t="s">
        <v>38</v>
      </c>
      <c r="U8">
        <v>1</v>
      </c>
      <c r="V8">
        <v>1</v>
      </c>
    </row>
    <row r="9" spans="1:22">
      <c r="A9">
        <v>4022</v>
      </c>
      <c r="B9" t="s">
        <v>48</v>
      </c>
      <c r="C9" s="1">
        <v>45635</v>
      </c>
      <c r="D9" t="s">
        <v>23</v>
      </c>
      <c r="E9" t="s">
        <v>49</v>
      </c>
      <c r="F9">
        <v>1</v>
      </c>
      <c r="H9" s="7">
        <v>68</v>
      </c>
      <c r="I9">
        <v>61.36</v>
      </c>
      <c r="J9">
        <v>62</v>
      </c>
      <c r="K9">
        <v>56.36</v>
      </c>
      <c r="L9">
        <v>0</v>
      </c>
      <c r="M9">
        <v>56.36</v>
      </c>
      <c r="N9">
        <v>0</v>
      </c>
      <c r="O9">
        <v>0</v>
      </c>
      <c r="P9">
        <v>6</v>
      </c>
      <c r="Q9">
        <v>5</v>
      </c>
      <c r="R9">
        <v>0</v>
      </c>
      <c r="S9">
        <v>0</v>
      </c>
      <c r="T9" t="s">
        <v>38</v>
      </c>
      <c r="U9">
        <v>0</v>
      </c>
      <c r="V9">
        <v>1</v>
      </c>
    </row>
    <row r="10" spans="1:22">
      <c r="A10">
        <v>4023</v>
      </c>
      <c r="B10" t="s">
        <v>50</v>
      </c>
      <c r="C10" s="1">
        <v>45636</v>
      </c>
      <c r="D10" t="s">
        <v>23</v>
      </c>
      <c r="E10" t="s">
        <v>51</v>
      </c>
      <c r="F10">
        <v>1</v>
      </c>
      <c r="H10" s="7">
        <v>108.2</v>
      </c>
      <c r="I10">
        <v>96.91</v>
      </c>
      <c r="J10">
        <v>101</v>
      </c>
      <c r="K10">
        <v>90.91</v>
      </c>
      <c r="L10">
        <v>10</v>
      </c>
      <c r="M10">
        <v>80.91</v>
      </c>
      <c r="N10">
        <v>0</v>
      </c>
      <c r="O10">
        <v>0</v>
      </c>
      <c r="P10">
        <v>7.2</v>
      </c>
      <c r="Q10">
        <v>6</v>
      </c>
      <c r="R10">
        <v>0</v>
      </c>
      <c r="S10">
        <v>0</v>
      </c>
      <c r="T10" t="s">
        <v>38</v>
      </c>
      <c r="U10">
        <v>1</v>
      </c>
      <c r="V10">
        <v>1</v>
      </c>
    </row>
    <row r="11" spans="1:22">
      <c r="A11">
        <v>4024</v>
      </c>
      <c r="B11" t="s">
        <v>52</v>
      </c>
      <c r="C11" s="1">
        <v>45637</v>
      </c>
      <c r="D11" t="s">
        <v>23</v>
      </c>
      <c r="E11" t="s">
        <v>53</v>
      </c>
      <c r="F11">
        <v>1</v>
      </c>
      <c r="G11" t="s">
        <v>54</v>
      </c>
      <c r="H11" s="7">
        <v>60.5</v>
      </c>
      <c r="I11">
        <v>53.9</v>
      </c>
      <c r="J11">
        <v>54.5</v>
      </c>
      <c r="K11">
        <v>48.9</v>
      </c>
      <c r="L11">
        <v>7.08</v>
      </c>
      <c r="M11">
        <v>41.82</v>
      </c>
      <c r="N11">
        <v>0</v>
      </c>
      <c r="O11">
        <v>0</v>
      </c>
      <c r="P11">
        <v>6</v>
      </c>
      <c r="Q11">
        <v>5</v>
      </c>
      <c r="R11">
        <v>0</v>
      </c>
      <c r="S11">
        <v>0</v>
      </c>
      <c r="T11" t="s">
        <v>38</v>
      </c>
      <c r="U11">
        <v>1</v>
      </c>
      <c r="V11">
        <v>1</v>
      </c>
    </row>
    <row r="12" spans="1:22">
      <c r="A12">
        <v>4025</v>
      </c>
      <c r="B12" t="s">
        <v>55</v>
      </c>
      <c r="C12" s="1">
        <v>45639</v>
      </c>
      <c r="D12" t="s">
        <v>23</v>
      </c>
      <c r="E12" t="s">
        <v>56</v>
      </c>
      <c r="F12">
        <v>1</v>
      </c>
      <c r="G12" t="s">
        <v>57</v>
      </c>
      <c r="H12" s="7">
        <v>74.61</v>
      </c>
      <c r="I12">
        <v>66.27</v>
      </c>
      <c r="J12">
        <v>65</v>
      </c>
      <c r="K12">
        <v>58.26</v>
      </c>
      <c r="L12">
        <v>9.17</v>
      </c>
      <c r="M12">
        <v>49.09</v>
      </c>
      <c r="N12">
        <v>0</v>
      </c>
      <c r="O12">
        <v>0</v>
      </c>
      <c r="P12">
        <v>9.61</v>
      </c>
      <c r="Q12">
        <v>8.01</v>
      </c>
      <c r="R12">
        <v>0</v>
      </c>
      <c r="S12">
        <v>0</v>
      </c>
      <c r="T12" t="s">
        <v>38</v>
      </c>
      <c r="U12">
        <v>1</v>
      </c>
      <c r="V12">
        <v>1</v>
      </c>
    </row>
    <row r="13" spans="1:22">
      <c r="A13">
        <v>4026</v>
      </c>
      <c r="B13" t="s">
        <v>58</v>
      </c>
      <c r="C13" s="1">
        <v>45639</v>
      </c>
      <c r="D13" t="s">
        <v>23</v>
      </c>
      <c r="E13" t="s">
        <v>59</v>
      </c>
      <c r="F13">
        <v>1</v>
      </c>
      <c r="H13" s="7">
        <v>75</v>
      </c>
      <c r="I13">
        <v>67.19</v>
      </c>
      <c r="J13">
        <v>69</v>
      </c>
      <c r="K13">
        <v>62.19</v>
      </c>
      <c r="L13">
        <v>5.83</v>
      </c>
      <c r="M13">
        <v>56.36</v>
      </c>
      <c r="N13">
        <v>0</v>
      </c>
      <c r="O13">
        <v>0</v>
      </c>
      <c r="P13">
        <v>6</v>
      </c>
      <c r="Q13">
        <v>5</v>
      </c>
      <c r="R13">
        <v>0</v>
      </c>
      <c r="S13">
        <v>0</v>
      </c>
      <c r="T13" t="s">
        <v>38</v>
      </c>
      <c r="U13">
        <v>1</v>
      </c>
      <c r="V13">
        <v>1</v>
      </c>
    </row>
    <row r="14" spans="1:22">
      <c r="A14">
        <v>4027</v>
      </c>
      <c r="B14" t="s">
        <v>60</v>
      </c>
      <c r="C14" s="1">
        <v>45640</v>
      </c>
      <c r="D14" t="s">
        <v>23</v>
      </c>
      <c r="E14" t="s">
        <v>61</v>
      </c>
      <c r="F14">
        <v>1</v>
      </c>
      <c r="H14" s="7">
        <v>71.5</v>
      </c>
      <c r="I14">
        <v>64.28</v>
      </c>
      <c r="J14">
        <v>65.5</v>
      </c>
      <c r="K14">
        <v>59.28</v>
      </c>
      <c r="L14">
        <v>2.92</v>
      </c>
      <c r="M14">
        <v>56.36</v>
      </c>
      <c r="N14">
        <v>0</v>
      </c>
      <c r="O14">
        <v>0</v>
      </c>
      <c r="P14">
        <v>6</v>
      </c>
      <c r="Q14">
        <v>5</v>
      </c>
      <c r="R14">
        <v>0</v>
      </c>
      <c r="S14">
        <v>0</v>
      </c>
      <c r="T14" t="s">
        <v>38</v>
      </c>
      <c r="U14">
        <v>1</v>
      </c>
      <c r="V14">
        <v>1</v>
      </c>
    </row>
    <row r="15" spans="1:22">
      <c r="A15">
        <v>4028</v>
      </c>
      <c r="B15" t="s">
        <v>62</v>
      </c>
      <c r="C15" s="1">
        <v>45640</v>
      </c>
      <c r="D15" t="s">
        <v>23</v>
      </c>
      <c r="E15" t="s">
        <v>63</v>
      </c>
      <c r="F15">
        <v>1</v>
      </c>
      <c r="H15" s="7">
        <v>68.5</v>
      </c>
      <c r="I15">
        <v>61.17</v>
      </c>
      <c r="J15">
        <v>62.5</v>
      </c>
      <c r="K15">
        <v>56.17</v>
      </c>
      <c r="L15">
        <v>7.08</v>
      </c>
      <c r="M15">
        <v>49.09</v>
      </c>
      <c r="N15">
        <v>0</v>
      </c>
      <c r="O15">
        <v>0</v>
      </c>
      <c r="P15">
        <v>6</v>
      </c>
      <c r="Q15">
        <v>5</v>
      </c>
      <c r="R15">
        <v>0</v>
      </c>
      <c r="S15">
        <v>0</v>
      </c>
      <c r="T15" t="s">
        <v>38</v>
      </c>
      <c r="U15">
        <v>1</v>
      </c>
      <c r="V15">
        <v>1</v>
      </c>
    </row>
    <row r="16" spans="1:22">
      <c r="A16">
        <v>4029</v>
      </c>
      <c r="B16" t="s">
        <v>64</v>
      </c>
      <c r="C16" s="1">
        <v>45642</v>
      </c>
      <c r="D16" t="s">
        <v>23</v>
      </c>
      <c r="E16" t="s">
        <v>65</v>
      </c>
      <c r="F16">
        <v>1</v>
      </c>
      <c r="H16" s="3">
        <v>50</v>
      </c>
      <c r="I16">
        <v>45</v>
      </c>
      <c r="J16">
        <v>44</v>
      </c>
      <c r="K16">
        <v>40</v>
      </c>
      <c r="L16">
        <v>0</v>
      </c>
      <c r="M16">
        <v>40</v>
      </c>
      <c r="N16">
        <v>0</v>
      </c>
      <c r="O16">
        <v>0</v>
      </c>
      <c r="P16">
        <v>6</v>
      </c>
      <c r="Q16">
        <v>5</v>
      </c>
      <c r="R16">
        <v>0</v>
      </c>
      <c r="S16">
        <v>0</v>
      </c>
      <c r="T16" t="s">
        <v>25</v>
      </c>
      <c r="U16">
        <v>1</v>
      </c>
      <c r="V16">
        <v>1</v>
      </c>
    </row>
    <row r="17" spans="1:22">
      <c r="A17">
        <v>4030</v>
      </c>
      <c r="B17" t="s">
        <v>66</v>
      </c>
      <c r="C17" s="1">
        <v>45642</v>
      </c>
      <c r="D17" t="s">
        <v>67</v>
      </c>
      <c r="E17" t="s">
        <v>68</v>
      </c>
      <c r="F17">
        <v>1</v>
      </c>
      <c r="H17" s="3">
        <v>54.5</v>
      </c>
      <c r="I17">
        <v>48.9</v>
      </c>
      <c r="J17">
        <v>54.5</v>
      </c>
      <c r="K17">
        <v>48.9</v>
      </c>
      <c r="L17">
        <v>7.08</v>
      </c>
      <c r="M17">
        <v>41.82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25</v>
      </c>
      <c r="U17">
        <v>1</v>
      </c>
      <c r="V17">
        <v>1</v>
      </c>
    </row>
    <row r="18" spans="1:22">
      <c r="A18">
        <v>4031</v>
      </c>
      <c r="B18" t="s">
        <v>69</v>
      </c>
      <c r="C18" s="1">
        <v>45643</v>
      </c>
      <c r="D18" t="s">
        <v>23</v>
      </c>
      <c r="E18" t="s">
        <v>70</v>
      </c>
      <c r="F18">
        <v>1</v>
      </c>
      <c r="H18" s="7">
        <v>28</v>
      </c>
      <c r="I18">
        <v>23.33</v>
      </c>
      <c r="J18">
        <v>22</v>
      </c>
      <c r="K18">
        <v>18.329999999999998</v>
      </c>
      <c r="L18">
        <v>18.329999999999998</v>
      </c>
      <c r="M18">
        <v>0</v>
      </c>
      <c r="N18">
        <v>0</v>
      </c>
      <c r="O18">
        <v>0</v>
      </c>
      <c r="P18">
        <v>6</v>
      </c>
      <c r="Q18">
        <v>5</v>
      </c>
      <c r="R18">
        <v>0</v>
      </c>
      <c r="S18">
        <v>0</v>
      </c>
      <c r="T18" t="s">
        <v>38</v>
      </c>
      <c r="U18">
        <v>1</v>
      </c>
      <c r="V18">
        <v>1</v>
      </c>
    </row>
    <row r="19" spans="1:22">
      <c r="A19">
        <v>4032</v>
      </c>
      <c r="B19" t="s">
        <v>71</v>
      </c>
      <c r="C19" s="1">
        <v>45644</v>
      </c>
      <c r="D19" t="s">
        <v>23</v>
      </c>
      <c r="E19" t="s">
        <v>72</v>
      </c>
      <c r="F19">
        <v>1</v>
      </c>
      <c r="H19" s="7">
        <v>60</v>
      </c>
      <c r="I19">
        <v>54.09</v>
      </c>
      <c r="J19">
        <v>54</v>
      </c>
      <c r="K19">
        <v>49.09</v>
      </c>
      <c r="L19">
        <v>0</v>
      </c>
      <c r="M19">
        <v>49.09</v>
      </c>
      <c r="N19">
        <v>0</v>
      </c>
      <c r="O19">
        <v>0</v>
      </c>
      <c r="P19">
        <v>6</v>
      </c>
      <c r="Q19">
        <v>5</v>
      </c>
      <c r="R19">
        <v>0</v>
      </c>
      <c r="S19">
        <v>0</v>
      </c>
      <c r="T19" t="s">
        <v>38</v>
      </c>
      <c r="U19">
        <v>1</v>
      </c>
      <c r="V19">
        <v>1</v>
      </c>
    </row>
    <row r="20" spans="1:22">
      <c r="A20">
        <v>4033</v>
      </c>
      <c r="B20" t="s">
        <v>73</v>
      </c>
      <c r="C20" s="1">
        <v>45646</v>
      </c>
      <c r="D20" t="s">
        <v>74</v>
      </c>
      <c r="E20" t="s">
        <v>75</v>
      </c>
      <c r="F20">
        <v>1</v>
      </c>
      <c r="H20" s="7">
        <v>62</v>
      </c>
      <c r="I20">
        <v>51.67</v>
      </c>
      <c r="J20">
        <v>62</v>
      </c>
      <c r="K20">
        <v>51.67</v>
      </c>
      <c r="L20">
        <v>51.67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38</v>
      </c>
      <c r="U20">
        <v>1</v>
      </c>
      <c r="V20">
        <v>1</v>
      </c>
    </row>
    <row r="21" spans="1:22">
      <c r="A21">
        <v>4034</v>
      </c>
      <c r="B21" t="s">
        <v>76</v>
      </c>
      <c r="C21" s="1">
        <v>45646</v>
      </c>
      <c r="D21" t="s">
        <v>23</v>
      </c>
      <c r="E21" t="s">
        <v>77</v>
      </c>
      <c r="F21">
        <v>1</v>
      </c>
      <c r="H21" s="7">
        <v>187.83</v>
      </c>
      <c r="I21">
        <v>168.42</v>
      </c>
      <c r="J21">
        <v>176.5</v>
      </c>
      <c r="K21">
        <v>158.97999999999999</v>
      </c>
      <c r="L21">
        <v>16.25</v>
      </c>
      <c r="M21">
        <v>142.72999999999999</v>
      </c>
      <c r="N21">
        <v>0</v>
      </c>
      <c r="O21">
        <v>0</v>
      </c>
      <c r="P21">
        <v>11.33</v>
      </c>
      <c r="Q21">
        <v>9.44</v>
      </c>
      <c r="R21">
        <v>0</v>
      </c>
      <c r="S21">
        <v>0</v>
      </c>
      <c r="T21" t="s">
        <v>38</v>
      </c>
      <c r="U21">
        <v>1</v>
      </c>
      <c r="V21">
        <v>1</v>
      </c>
    </row>
    <row r="22" spans="1:22">
      <c r="A22">
        <v>4035</v>
      </c>
      <c r="B22" t="s">
        <v>78</v>
      </c>
      <c r="C22" s="1">
        <v>45647</v>
      </c>
      <c r="D22" t="s">
        <v>23</v>
      </c>
      <c r="E22" t="s">
        <v>79</v>
      </c>
      <c r="F22">
        <v>1</v>
      </c>
      <c r="H22" s="7">
        <v>62</v>
      </c>
      <c r="I22">
        <v>55.91</v>
      </c>
      <c r="J22">
        <v>56</v>
      </c>
      <c r="K22">
        <v>50.91</v>
      </c>
      <c r="L22">
        <v>0</v>
      </c>
      <c r="M22">
        <v>50.91</v>
      </c>
      <c r="N22">
        <v>0</v>
      </c>
      <c r="O22">
        <v>0</v>
      </c>
      <c r="P22">
        <v>6</v>
      </c>
      <c r="Q22">
        <v>5</v>
      </c>
      <c r="R22">
        <v>0</v>
      </c>
      <c r="S22">
        <v>0</v>
      </c>
      <c r="T22" t="s">
        <v>38</v>
      </c>
      <c r="U22">
        <v>0</v>
      </c>
      <c r="V22">
        <v>1</v>
      </c>
    </row>
    <row r="23" spans="1:22">
      <c r="A23">
        <v>4036</v>
      </c>
      <c r="B23" t="s">
        <v>80</v>
      </c>
      <c r="C23" s="1">
        <v>45647</v>
      </c>
      <c r="D23" t="s">
        <v>74</v>
      </c>
      <c r="E23" t="s">
        <v>81</v>
      </c>
      <c r="F23">
        <v>1</v>
      </c>
      <c r="H23" s="7">
        <v>130</v>
      </c>
      <c r="I23">
        <v>108.33</v>
      </c>
      <c r="J23">
        <v>130</v>
      </c>
      <c r="K23">
        <v>108.33</v>
      </c>
      <c r="L23">
        <v>108.33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38</v>
      </c>
      <c r="U23">
        <v>1</v>
      </c>
      <c r="V23">
        <v>1</v>
      </c>
    </row>
    <row r="24" spans="1:22">
      <c r="A24">
        <v>4037</v>
      </c>
      <c r="B24" t="s">
        <v>82</v>
      </c>
      <c r="C24" s="1">
        <v>45649</v>
      </c>
      <c r="D24" t="s">
        <v>23</v>
      </c>
      <c r="E24" t="s">
        <v>83</v>
      </c>
      <c r="F24">
        <v>1</v>
      </c>
      <c r="H24" s="7">
        <v>80</v>
      </c>
      <c r="I24">
        <v>72.73</v>
      </c>
      <c r="J24">
        <v>80</v>
      </c>
      <c r="K24">
        <v>72.73</v>
      </c>
      <c r="L24">
        <v>0</v>
      </c>
      <c r="M24">
        <v>72.73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38</v>
      </c>
      <c r="U24">
        <v>1</v>
      </c>
      <c r="V24">
        <v>1</v>
      </c>
    </row>
    <row r="25" spans="1:22">
      <c r="A25">
        <v>4038</v>
      </c>
      <c r="B25" t="s">
        <v>84</v>
      </c>
      <c r="C25" s="1">
        <v>45650</v>
      </c>
      <c r="D25" t="s">
        <v>23</v>
      </c>
      <c r="E25" t="s">
        <v>85</v>
      </c>
      <c r="F25">
        <v>1</v>
      </c>
      <c r="H25" s="7">
        <v>38</v>
      </c>
      <c r="I25">
        <v>34.090000000000003</v>
      </c>
      <c r="J25">
        <v>32</v>
      </c>
      <c r="K25">
        <v>29.09</v>
      </c>
      <c r="L25">
        <v>0</v>
      </c>
      <c r="M25">
        <v>29.09</v>
      </c>
      <c r="N25">
        <v>0</v>
      </c>
      <c r="O25">
        <v>0</v>
      </c>
      <c r="P25">
        <v>6</v>
      </c>
      <c r="Q25">
        <v>5</v>
      </c>
      <c r="R25">
        <v>0</v>
      </c>
      <c r="S25">
        <v>0</v>
      </c>
      <c r="T25" t="s">
        <v>38</v>
      </c>
      <c r="U25">
        <v>0</v>
      </c>
      <c r="V25">
        <v>1</v>
      </c>
    </row>
    <row r="28" spans="1:22">
      <c r="H28">
        <f>SUM(H2:H27)</f>
        <v>1792.6</v>
      </c>
      <c r="I28">
        <f t="shared" ref="I28:R28" si="0">SUM(I2:I27)</f>
        <v>1589.6899999999998</v>
      </c>
      <c r="J28">
        <f t="shared" si="0"/>
        <v>1660.95</v>
      </c>
      <c r="K28">
        <f t="shared" si="0"/>
        <v>1479.98</v>
      </c>
      <c r="L28">
        <f t="shared" si="0"/>
        <v>335.82</v>
      </c>
      <c r="M28">
        <f t="shared" si="0"/>
        <v>1129.99</v>
      </c>
      <c r="N28">
        <f t="shared" si="0"/>
        <v>14.17</v>
      </c>
      <c r="O28">
        <f t="shared" si="0"/>
        <v>0</v>
      </c>
      <c r="P28">
        <f t="shared" si="0"/>
        <v>131.65</v>
      </c>
      <c r="Q28">
        <f t="shared" si="0"/>
        <v>109.71</v>
      </c>
      <c r="R28">
        <f t="shared" si="0"/>
        <v>0</v>
      </c>
    </row>
    <row r="31" spans="1:22">
      <c r="H31" s="5" t="s">
        <v>87</v>
      </c>
      <c r="I31" t="s">
        <v>86</v>
      </c>
    </row>
    <row r="32" spans="1:22">
      <c r="H32" s="6" t="s">
        <v>38</v>
      </c>
      <c r="I32" s="4">
        <v>1649.8</v>
      </c>
    </row>
    <row r="33" spans="8:9">
      <c r="H33" s="6" t="s">
        <v>25</v>
      </c>
      <c r="I33" s="4">
        <v>142.80000000000001</v>
      </c>
    </row>
    <row r="34" spans="8:9">
      <c r="H34" s="6" t="s">
        <v>88</v>
      </c>
      <c r="I34" s="4">
        <v>1792.6</v>
      </c>
    </row>
  </sheetData>
  <autoFilter ref="A1:V25" xr:uid="{D58AA982-FF16-47B0-A8F2-ECD07DBD96F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0A4E-41E0-4203-A035-D246EB765635}">
  <dimension ref="A1:V3"/>
  <sheetViews>
    <sheetView workbookViewId="0">
      <selection activeCell="A3" sqref="A3:XFD3"/>
    </sheetView>
  </sheetViews>
  <sheetFormatPr baseColWidth="10" defaultRowHeight="14.25"/>
  <sheetData>
    <row r="1" spans="1:22" s="2" customFormat="1" ht="26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>
        <v>4015</v>
      </c>
      <c r="B2" t="s">
        <v>29</v>
      </c>
      <c r="C2" s="1">
        <v>45629</v>
      </c>
      <c r="D2" t="s">
        <v>30</v>
      </c>
      <c r="E2" t="s">
        <v>31</v>
      </c>
      <c r="F2">
        <v>1</v>
      </c>
      <c r="H2">
        <v>74</v>
      </c>
      <c r="I2">
        <v>66.819999999999993</v>
      </c>
      <c r="J2">
        <v>68</v>
      </c>
      <c r="K2">
        <v>61.82</v>
      </c>
      <c r="L2">
        <v>0</v>
      </c>
      <c r="M2">
        <v>61.82</v>
      </c>
      <c r="N2">
        <v>0</v>
      </c>
      <c r="O2">
        <v>0</v>
      </c>
      <c r="P2">
        <v>6</v>
      </c>
      <c r="Q2">
        <v>5</v>
      </c>
      <c r="T2" t="s">
        <v>32</v>
      </c>
      <c r="U2">
        <v>0</v>
      </c>
      <c r="V2">
        <v>0</v>
      </c>
    </row>
    <row r="3" spans="1:22">
      <c r="A3">
        <v>4016</v>
      </c>
      <c r="B3" t="s">
        <v>33</v>
      </c>
      <c r="C3" s="1">
        <v>45629</v>
      </c>
      <c r="D3" t="s">
        <v>30</v>
      </c>
      <c r="E3" t="s">
        <v>34</v>
      </c>
      <c r="F3">
        <v>1</v>
      </c>
      <c r="H3">
        <v>28</v>
      </c>
      <c r="I3">
        <v>23.33</v>
      </c>
      <c r="J3">
        <v>22</v>
      </c>
      <c r="K3">
        <v>18.329999999999998</v>
      </c>
      <c r="L3">
        <v>18.329999999999998</v>
      </c>
      <c r="M3">
        <v>0</v>
      </c>
      <c r="N3">
        <v>0</v>
      </c>
      <c r="O3">
        <v>0</v>
      </c>
      <c r="P3">
        <v>6</v>
      </c>
      <c r="Q3">
        <v>5</v>
      </c>
      <c r="T3" t="s">
        <v>32</v>
      </c>
      <c r="U3">
        <v>1</v>
      </c>
      <c r="V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request_sql_12 (3)</vt:lpstr>
      <vt:lpstr>Non validé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sylvie</dc:creator>
  <cp:lastModifiedBy>benard sylvie</cp:lastModifiedBy>
  <dcterms:created xsi:type="dcterms:W3CDTF">2025-02-06T11:30:22Z</dcterms:created>
  <dcterms:modified xsi:type="dcterms:W3CDTF">2025-02-06T18:57:12Z</dcterms:modified>
</cp:coreProperties>
</file>